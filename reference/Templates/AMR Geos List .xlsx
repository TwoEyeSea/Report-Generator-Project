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<sst xmlns="http://schemas.openxmlformats.org/spreadsheetml/2006/main" count="208" uniqueCount="133">
  <si>
    <t>AMR Project Number</t>
  </si>
  <si>
    <t>Report Tier</t>
  </si>
  <si>
    <t>Client</t>
  </si>
  <si>
    <t>Proposal Number</t>
  </si>
  <si>
    <t>Project Title</t>
  </si>
  <si>
    <t>Address</t>
  </si>
  <si>
    <t>Description</t>
  </si>
  <si>
    <t>Site Work Status</t>
  </si>
  <si>
    <t>Site Work Date</t>
  </si>
  <si>
    <t>Report Status</t>
  </si>
  <si>
    <t>Engineer</t>
  </si>
  <si>
    <t>Invoicing</t>
  </si>
  <si>
    <t>Heavy Equipment</t>
  </si>
  <si>
    <t>Expenses</t>
  </si>
  <si>
    <t>Revenue</t>
  </si>
  <si>
    <t>Profit</t>
  </si>
  <si>
    <t>Encompass Cayman
abarnes@encompasscayman.com</t>
  </si>
  <si>
    <t xml:space="preserve">McFarlane Residence </t>
  </si>
  <si>
    <t>Lalique Quay, Crighton Drive, WB (17A229)</t>
  </si>
  <si>
    <t>TP</t>
  </si>
  <si>
    <t>MT</t>
  </si>
  <si>
    <t>Backhoe</t>
  </si>
  <si>
    <t>Windsor Global Ltd.
ryan@periwinkle.ky</t>
  </si>
  <si>
    <t>Crighton Drive Property</t>
  </si>
  <si>
    <t>Crighton Drive, WB (17A220)</t>
  </si>
  <si>
    <t>TP+DCP</t>
  </si>
  <si>
    <t>MT/MAM</t>
  </si>
  <si>
    <t>Jason Brown
jason@iwc.ky</t>
  </si>
  <si>
    <t>Sleepy Hollow Drive Geo</t>
  </si>
  <si>
    <t>Sleepy Hollow Drive, GT (19A89 Lots L&amp;M)</t>
  </si>
  <si>
    <t>MAM/MT</t>
  </si>
  <si>
    <t>Josephine Malonzo
josie_m1983@yahoo.com</t>
  </si>
  <si>
    <t>Malonzo Residence</t>
  </si>
  <si>
    <t>Rum Point Drive, NS (45A130)</t>
  </si>
  <si>
    <t>Medium Excavator</t>
  </si>
  <si>
    <t>S</t>
  </si>
  <si>
    <t>PDL
paul.dibb@fostergroup.ky</t>
  </si>
  <si>
    <t xml:space="preserve">PDL Mound </t>
  </si>
  <si>
    <t>Sparky's Drive, GT</t>
  </si>
  <si>
    <t>Monitoring</t>
  </si>
  <si>
    <t>--</t>
  </si>
  <si>
    <t>Vlad R
v_r1337@hotmail.com</t>
  </si>
  <si>
    <t>73 Selkirk Drive Renovation</t>
  </si>
  <si>
    <t xml:space="preserve">Selkirk Drive, GT </t>
  </si>
  <si>
    <t>Integrated Str/Geo</t>
  </si>
  <si>
    <t>Monica and Eduardo Bernal
monica@arco.ky
eduardo@arco.ky</t>
  </si>
  <si>
    <t>Roxborough House Trial Pit Geo</t>
  </si>
  <si>
    <t>Roxborough Street, Prospect, GT(24E631)</t>
  </si>
  <si>
    <t>Chynna Martinez
Derren Ebanks
chynna_martinez@hotmail.com</t>
  </si>
  <si>
    <t>12233 Rev A</t>
  </si>
  <si>
    <t>Martinez/Ebanks Duplex</t>
  </si>
  <si>
    <t>Town Hall Road, WB (5B 227)</t>
  </si>
  <si>
    <t>MAM</t>
  </si>
  <si>
    <t>Excavator (client)</t>
  </si>
  <si>
    <t>George Reynolds</t>
  </si>
  <si>
    <t>Reynolds Pool &amp; Deck</t>
  </si>
  <si>
    <t>Sandpoint Road Ns (33B14)</t>
  </si>
  <si>
    <t>Ask Mark</t>
  </si>
  <si>
    <t>Darius Development 
Daniel Campbell</t>
  </si>
  <si>
    <t>Scotland Yard Residence</t>
  </si>
  <si>
    <t>Amity Street, Prospect, GT (24E 444)</t>
  </si>
  <si>
    <t>Williams &amp; Williams
Fred Whittaker</t>
  </si>
  <si>
    <t>Double T Commercial Building</t>
  </si>
  <si>
    <t>Crewe Road, GT (20E32)</t>
  </si>
  <si>
    <t>Yoania Ebanks
yoania.ebanks@gmail.com</t>
  </si>
  <si>
    <t>BT Property 48E 120</t>
  </si>
  <si>
    <t>Carrington Lane, BT (48E120)</t>
  </si>
  <si>
    <t>Tony Myers
davidmyers7@gmail.com</t>
  </si>
  <si>
    <t>Myers - New Car port &amp; Swimming Pool</t>
  </si>
  <si>
    <t>Austin Conolly Drive, EE (74A108)</t>
  </si>
  <si>
    <t>Hand Digs, DCP</t>
  </si>
  <si>
    <t>Digging Team</t>
  </si>
  <si>
    <t>WT</t>
  </si>
  <si>
    <t>Kenneth Ebanks
gardencitydesigns10@gmail.com</t>
  </si>
  <si>
    <t>DWT - Parking Lot</t>
  </si>
  <si>
    <t>Reverend Blackman Road, WB (4E80)</t>
  </si>
  <si>
    <t>Well Testing</t>
  </si>
  <si>
    <t>MAM/JB</t>
  </si>
  <si>
    <t>Water Truck</t>
  </si>
  <si>
    <t>Ben Drummond
ben@evolvingisland.com</t>
  </si>
  <si>
    <t>DWT  - New Humane Society</t>
  </si>
  <si>
    <t>Capt. Reginald Parsons Drive, WB (8A 49, 103, 109)</t>
  </si>
  <si>
    <t>Arco
c/o Michael Kluge</t>
  </si>
  <si>
    <t>Legoland</t>
  </si>
  <si>
    <t>Old Prospect Road</t>
  </si>
  <si>
    <t>Excavator</t>
  </si>
  <si>
    <t>Heritage Holdings
c/o Alandre Nel</t>
  </si>
  <si>
    <t>Craig Burke Residence</t>
  </si>
  <si>
    <t>Shorewinds Trail, The Shores, WB (9A606)</t>
  </si>
  <si>
    <t>BCQS
c/o Michael Baulk</t>
  </si>
  <si>
    <t>Lime Tree Bay Drainage Driveway
Drainage</t>
  </si>
  <si>
    <t>Lime Tree Bay, Esterly Tibbetts Highway</t>
  </si>
  <si>
    <t>Ty Hanson
c/o Oasis</t>
  </si>
  <si>
    <t>Hanson Pool</t>
  </si>
  <si>
    <t>South Side Road Cayman Brac (97C 55)</t>
  </si>
  <si>
    <t>Well Testing
Retests</t>
  </si>
  <si>
    <t>JB/ MAM</t>
  </si>
  <si>
    <t>Heritage Holdings
c/o Caolan Devine (snrtechnologist@heritageholdings.ky)</t>
  </si>
  <si>
    <t>Island Breeze</t>
  </si>
  <si>
    <t>Uncle Bob Road, WB (9A 426 &amp; 899)</t>
  </si>
  <si>
    <t>Tarryn Maylon
(tm@plans.ky)</t>
  </si>
  <si>
    <t>Ebanks Residence</t>
  </si>
  <si>
    <t>Guy Banks Road, Little Cayman (91A 229)</t>
  </si>
  <si>
    <t>Mini Excavator</t>
  </si>
  <si>
    <t>Peter de Wit</t>
  </si>
  <si>
    <t>Prisma Southern Parking Lot 
Well Testing</t>
  </si>
  <si>
    <t>Crighton Drive, WB (17A146)</t>
  </si>
  <si>
    <t>Derrin Ebanks
(cayfish@candw.ky)
c/o Sean Rory</t>
  </si>
  <si>
    <t>Shorewinds Trail, The Shores, WB (9A602)</t>
  </si>
  <si>
    <t>MAM/MB</t>
  </si>
  <si>
    <t>9A 444 Residence Addition</t>
  </si>
  <si>
    <t>Shoreline Drive, The Shores, WB (9A444)</t>
  </si>
  <si>
    <t>MAM/AB</t>
  </si>
  <si>
    <t>Jonathan Lavington</t>
  </si>
  <si>
    <t>Lavington Residence</t>
  </si>
  <si>
    <t>Conch Point Road, Barkers, WB (8A 152)</t>
  </si>
  <si>
    <t>Stephen Hislop</t>
  </si>
  <si>
    <t>DKS Warehouse</t>
  </si>
  <si>
    <t>Lindford Pierson Highway, GT (14D 105)</t>
  </si>
  <si>
    <t>Laura Ekholm &amp; Louise Craig
c/o Paradise Drafting</t>
  </si>
  <si>
    <t>Ekholm Garage Addition</t>
  </si>
  <si>
    <t>Sandpoint Road NS (33B 4)</t>
  </si>
  <si>
    <t>Timmy Clarke</t>
  </si>
  <si>
    <t>Plaxton &amp; Jacqueline Rainford Residence</t>
  </si>
  <si>
    <t>Rum Point Drive, NS (33B 205)</t>
  </si>
  <si>
    <t>Natalie Ugland Snr
c/o BDCL</t>
  </si>
  <si>
    <t>Natalie Ugland Residence</t>
  </si>
  <si>
    <t>Clipper Bay, GT, (12C 495)</t>
  </si>
  <si>
    <t>Encompass Cayman
smccarville@encompasscayman.com</t>
  </si>
  <si>
    <t>Gintz Residence</t>
  </si>
  <si>
    <t>South Sound, GT (21E 18)</t>
  </si>
  <si>
    <t>TP + Levels</t>
  </si>
  <si>
    <t>Excavator (Ranfor)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</si>
</sst>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2" fontId="3" numFmtId="49" xfId="0" applyAlignment="1" applyBorder="1" applyFill="1" applyFont="1" applyNumberForma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0" fontId="1" numFmtId="9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3" fontId="4" numFmtId="2" xfId="0" applyAlignment="1" applyBorder="1" applyFill="1" applyFont="1" applyNumberFormat="1">
      <alignment shrinkToFit="0" vertical="center" wrapText="0"/>
    </xf>
    <xf borderId="1" fillId="3" fontId="4" numFmtId="2" xfId="0" applyAlignment="1" applyBorder="1" applyFill="1" applyFont="1" applyNumberFormat="1">
      <alignment horizontal="right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4" numFmtId="2" xfId="0" applyAlignment="1" applyBorder="1" applyFill="1" applyFont="1" applyNumberFormat="1">
      <alignment horizontal="right" readingOrder="0" shrinkToFit="0" vertical="center" wrapText="0"/>
    </xf>
    <xf borderId="1" fillId="3" fontId="4" numFmtId="2" xfId="0" applyAlignment="1" applyBorder="1" applyFill="1" applyFont="1" applyNumberFormat="1">
      <alignment readingOrder="0" shrinkToFit="0" vertical="center" wrapText="0"/>
    </xf>
    <xf borderId="1" fillId="3" fontId="4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P47" displayName="Table1" name="Table1" id="1">
  <tableColumns count="16">
    <tableColumn name="AMR Project Number" id="1"/>
    <tableColumn name="Report Tier" id="2"/>
    <tableColumn name="Client" id="3"/>
    <tableColumn name="Proposal Number" id="4"/>
    <tableColumn name="Project Title" id="5"/>
    <tableColumn name="Address" id="6"/>
    <tableColumn name="Description" id="7"/>
    <tableColumn name="Site Work Status" id="8"/>
    <tableColumn name="Site Work Date" id="9"/>
    <tableColumn name="Report Status" id="10"/>
    <tableColumn name="Engineer" id="11"/>
    <tableColumn name="Invoicing" id="12"/>
    <tableColumn name="Heavy Equipment" id="13"/>
    <tableColumn name="Expenses" id="14"/>
    <tableColumn name="Revenue" id="15"/>
    <tableColumn name="Profit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1.38"/>
    <col customWidth="1" min="3" max="3" width="28.0"/>
    <col customWidth="1" min="4" max="4" width="24.88"/>
    <col customWidth="1" min="5" max="5" width="25.88"/>
    <col customWidth="1" min="6" max="6" width="40.25"/>
    <col customWidth="1" min="7" max="7" width="14.13"/>
    <col customWidth="1" min="8" max="8" width="21.25"/>
    <col customWidth="1" min="9" max="9" width="19.88"/>
    <col customWidth="1" min="10" max="10" width="19.0"/>
    <col customWidth="1" min="12" max="12" width="15.63"/>
    <col customWidth="1" min="13" max="13" width="18.63"/>
    <col customWidth="1" min="14" max="15" width="16.0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4" t="s">
        <v>12</v>
      </c>
      <c r="N2" s="5" t="s">
        <v>13</v>
      </c>
      <c r="O2" s="5" t="s">
        <v>14</v>
      </c>
      <c r="P2" s="5" t="s">
        <v>15</v>
      </c>
    </row>
    <row r="3" ht="22.5" customHeight="1">
      <c r="A3" s="6">
        <v>15293.0</v>
      </c>
      <c r="B3" s="7">
        <v>1.0</v>
      </c>
      <c r="C3" s="8" t="s">
        <v>16</v>
      </c>
      <c r="D3" s="6"/>
      <c r="E3" s="6" t="s">
        <v>17</v>
      </c>
      <c r="F3" s="6" t="s">
        <v>18</v>
      </c>
      <c r="G3" s="7" t="s">
        <v>19</v>
      </c>
      <c r="H3" s="9">
        <v>1.0</v>
      </c>
      <c r="I3" s="10">
        <v>46086.0</v>
      </c>
      <c r="J3" s="9">
        <v>1.0</v>
      </c>
      <c r="K3" s="7" t="s">
        <v>20</v>
      </c>
      <c r="L3" s="9">
        <v>0.5</v>
      </c>
      <c r="M3" s="11" t="s">
        <v>21</v>
      </c>
      <c r="N3" s="12">
        <f>95*5</f>
        <v>475</v>
      </c>
      <c r="O3" s="12">
        <v>1800.0</v>
      </c>
      <c r="P3" s="12">
        <f t="shared" ref="P3:P10" si="1">O3-N3</f>
        <v>1325</v>
      </c>
    </row>
    <row r="4" ht="22.5" customHeight="1">
      <c r="A4" s="6">
        <v>15282.0</v>
      </c>
      <c r="B4" s="7">
        <v>2.0</v>
      </c>
      <c r="C4" s="8" t="s">
        <v>22</v>
      </c>
      <c r="D4" s="6"/>
      <c r="E4" s="6" t="s">
        <v>23</v>
      </c>
      <c r="F4" s="6" t="s">
        <v>24</v>
      </c>
      <c r="G4" s="7" t="s">
        <v>25</v>
      </c>
      <c r="H4" s="9">
        <v>1.0</v>
      </c>
      <c r="I4" s="10">
        <v>46086.0</v>
      </c>
      <c r="J4" s="9">
        <v>1.0</v>
      </c>
      <c r="K4" s="7" t="s">
        <v>26</v>
      </c>
      <c r="L4" s="9">
        <v>1.0</v>
      </c>
      <c r="M4" s="11" t="s">
        <v>21</v>
      </c>
      <c r="N4" s="12">
        <f>95*4</f>
        <v>380</v>
      </c>
      <c r="O4" s="12">
        <v>2600.0</v>
      </c>
      <c r="P4" s="12">
        <f t="shared" si="1"/>
        <v>2220</v>
      </c>
    </row>
    <row r="5" ht="22.5" customHeight="1">
      <c r="A5" s="6">
        <v>15285.0</v>
      </c>
      <c r="B5" s="7">
        <v>3.0</v>
      </c>
      <c r="C5" s="8" t="s">
        <v>27</v>
      </c>
      <c r="D5" s="6"/>
      <c r="E5" s="6" t="s">
        <v>28</v>
      </c>
      <c r="F5" s="6" t="s">
        <v>29</v>
      </c>
      <c r="G5" s="7" t="s">
        <v>19</v>
      </c>
      <c r="H5" s="9">
        <v>1.0</v>
      </c>
      <c r="I5" s="10">
        <v>46080.0</v>
      </c>
      <c r="J5" s="9">
        <v>1.0</v>
      </c>
      <c r="K5" s="7" t="s">
        <v>30</v>
      </c>
      <c r="L5" s="9">
        <v>0.5</v>
      </c>
      <c r="M5" s="11" t="s">
        <v>21</v>
      </c>
      <c r="N5" s="12">
        <f>95*5</f>
        <v>475</v>
      </c>
      <c r="O5" s="12">
        <v>4400.0</v>
      </c>
      <c r="P5" s="12">
        <f t="shared" si="1"/>
        <v>3925</v>
      </c>
    </row>
    <row r="6" ht="22.5" customHeight="1">
      <c r="A6" s="6">
        <v>15283.0</v>
      </c>
      <c r="B6" s="7">
        <v>1.0</v>
      </c>
      <c r="C6" s="8" t="s">
        <v>31</v>
      </c>
      <c r="D6" s="6"/>
      <c r="E6" s="6" t="s">
        <v>32</v>
      </c>
      <c r="F6" s="6" t="s">
        <v>33</v>
      </c>
      <c r="G6" s="7" t="s">
        <v>19</v>
      </c>
      <c r="H6" s="9">
        <v>1.0</v>
      </c>
      <c r="I6" s="10">
        <v>46091.0</v>
      </c>
      <c r="J6" s="9">
        <v>1.0</v>
      </c>
      <c r="K6" s="7"/>
      <c r="L6" s="9">
        <v>0.5</v>
      </c>
      <c r="M6" s="11" t="s">
        <v>34</v>
      </c>
      <c r="N6" s="12">
        <v>575.0</v>
      </c>
      <c r="O6" s="12">
        <v>1640.0</v>
      </c>
      <c r="P6" s="12">
        <f t="shared" si="1"/>
        <v>1065</v>
      </c>
    </row>
    <row r="7" ht="22.5" customHeight="1">
      <c r="A7" s="6">
        <v>15093.0</v>
      </c>
      <c r="B7" s="7" t="s">
        <v>35</v>
      </c>
      <c r="C7" s="8" t="s">
        <v>36</v>
      </c>
      <c r="D7" s="6"/>
      <c r="E7" s="6" t="s">
        <v>37</v>
      </c>
      <c r="F7" s="6" t="s">
        <v>38</v>
      </c>
      <c r="G7" s="7" t="s">
        <v>39</v>
      </c>
      <c r="H7" s="9">
        <v>1.0</v>
      </c>
      <c r="I7" s="13" t="s">
        <v>40</v>
      </c>
      <c r="J7" s="9">
        <v>1.0</v>
      </c>
      <c r="K7" s="7"/>
      <c r="L7" s="9">
        <v>0.0</v>
      </c>
      <c r="M7" s="11" t="s">
        <v>21</v>
      </c>
      <c r="N7" s="12">
        <v>6840.0</v>
      </c>
      <c r="O7" s="12">
        <v>6715.0</v>
      </c>
      <c r="P7" s="12">
        <f t="shared" si="1"/>
        <v>-125</v>
      </c>
    </row>
    <row r="8" ht="22.5" customHeight="1">
      <c r="A8" s="6">
        <v>15276.0</v>
      </c>
      <c r="B8" s="7">
        <v>1.0</v>
      </c>
      <c r="C8" s="8" t="s">
        <v>41</v>
      </c>
      <c r="D8" s="6">
        <v>11300.0</v>
      </c>
      <c r="E8" s="6" t="s">
        <v>42</v>
      </c>
      <c r="F8" s="6" t="s">
        <v>43</v>
      </c>
      <c r="G8" s="7" t="s">
        <v>19</v>
      </c>
      <c r="H8" s="9">
        <v>1.0</v>
      </c>
      <c r="I8" s="10">
        <v>46087.0</v>
      </c>
      <c r="J8" s="9">
        <v>1.0</v>
      </c>
      <c r="K8" s="7"/>
      <c r="L8" s="9">
        <v>0.0</v>
      </c>
      <c r="M8" s="11" t="s">
        <v>21</v>
      </c>
      <c r="N8" s="12">
        <f>4*95</f>
        <v>380</v>
      </c>
      <c r="O8" s="12" t="s">
        <v>44</v>
      </c>
      <c r="P8" s="12" t="str">
        <f t="shared" si="1"/>
        <v>#VALUE!</v>
      </c>
    </row>
    <row r="9" ht="22.5" customHeight="1">
      <c r="A9" s="6">
        <v>15290.0</v>
      </c>
      <c r="B9" s="7">
        <v>1.0</v>
      </c>
      <c r="C9" s="8" t="s">
        <v>45</v>
      </c>
      <c r="D9" s="6"/>
      <c r="E9" s="6" t="s">
        <v>46</v>
      </c>
      <c r="F9" s="6" t="s">
        <v>47</v>
      </c>
      <c r="G9" s="7" t="s">
        <v>19</v>
      </c>
      <c r="H9" s="9">
        <v>1.0</v>
      </c>
      <c r="I9" s="10">
        <v>46107.0</v>
      </c>
      <c r="J9" s="9">
        <v>1.0</v>
      </c>
      <c r="K9" s="7" t="s">
        <v>20</v>
      </c>
      <c r="L9" s="9">
        <v>0.0</v>
      </c>
      <c r="M9" s="11" t="s">
        <v>21</v>
      </c>
      <c r="N9" s="12">
        <f>95*2</f>
        <v>190</v>
      </c>
      <c r="O9" s="14">
        <v>1250.0</v>
      </c>
      <c r="P9" s="12">
        <f t="shared" si="1"/>
        <v>1060</v>
      </c>
    </row>
    <row r="10" ht="22.5" customHeight="1">
      <c r="A10" s="6">
        <v>15298.0</v>
      </c>
      <c r="B10" s="7">
        <v>1.0</v>
      </c>
      <c r="C10" s="8" t="s">
        <v>48</v>
      </c>
      <c r="D10" s="6" t="s">
        <v>49</v>
      </c>
      <c r="E10" s="6" t="s">
        <v>50</v>
      </c>
      <c r="F10" s="6" t="s">
        <v>51</v>
      </c>
      <c r="G10" s="7" t="s">
        <v>19</v>
      </c>
      <c r="H10" s="9">
        <v>1.0</v>
      </c>
      <c r="I10" s="10">
        <v>46108.0</v>
      </c>
      <c r="J10" s="9">
        <v>1.0</v>
      </c>
      <c r="K10" s="7" t="s">
        <v>52</v>
      </c>
      <c r="L10" s="9">
        <v>0.0</v>
      </c>
      <c r="M10" s="11" t="s">
        <v>53</v>
      </c>
      <c r="N10" s="14">
        <v>0.0</v>
      </c>
      <c r="O10" s="12">
        <v>1250.0</v>
      </c>
      <c r="P10" s="12">
        <f t="shared" si="1"/>
        <v>1250</v>
      </c>
    </row>
    <row r="11" ht="22.5" customHeight="1">
      <c r="A11" s="6">
        <v>15303.0</v>
      </c>
      <c r="B11" s="7">
        <v>1.0</v>
      </c>
      <c r="C11" s="8" t="s">
        <v>54</v>
      </c>
      <c r="D11" s="6">
        <v>12278.0</v>
      </c>
      <c r="E11" s="6" t="s">
        <v>55</v>
      </c>
      <c r="F11" s="6" t="s">
        <v>56</v>
      </c>
      <c r="G11" s="7" t="s">
        <v>19</v>
      </c>
      <c r="H11" s="9">
        <v>1.0</v>
      </c>
      <c r="I11" s="10">
        <v>46107.0</v>
      </c>
      <c r="J11" s="9">
        <v>1.0</v>
      </c>
      <c r="K11" s="7" t="s">
        <v>52</v>
      </c>
      <c r="L11" s="9">
        <v>0.0</v>
      </c>
      <c r="M11" s="11" t="s">
        <v>21</v>
      </c>
      <c r="N11" s="12">
        <f>7*95</f>
        <v>665</v>
      </c>
      <c r="O11" s="12" t="s">
        <v>57</v>
      </c>
      <c r="P11" s="12" t="str">
        <f>#REF!-O11</f>
        <v>#REF!</v>
      </c>
    </row>
    <row r="12" ht="22.5" customHeight="1">
      <c r="A12" s="6">
        <v>15309.0</v>
      </c>
      <c r="B12" s="7">
        <v>1.0</v>
      </c>
      <c r="C12" s="8" t="s">
        <v>58</v>
      </c>
      <c r="D12" s="6">
        <v>12245.0</v>
      </c>
      <c r="E12" s="6" t="s">
        <v>59</v>
      </c>
      <c r="F12" s="6" t="s">
        <v>60</v>
      </c>
      <c r="G12" s="7" t="s">
        <v>19</v>
      </c>
      <c r="H12" s="9">
        <v>1.0</v>
      </c>
      <c r="I12" s="10">
        <v>46107.0</v>
      </c>
      <c r="J12" s="9">
        <v>1.0</v>
      </c>
      <c r="K12" s="7" t="s">
        <v>52</v>
      </c>
      <c r="L12" s="9">
        <v>0.0</v>
      </c>
      <c r="M12" s="11" t="s">
        <v>21</v>
      </c>
      <c r="N12" s="12"/>
      <c r="O12" s="12">
        <v>1250.0</v>
      </c>
      <c r="P12" s="12">
        <f t="shared" ref="P12:P14" si="2">O12-N12</f>
        <v>1250</v>
      </c>
    </row>
    <row r="13" ht="22.5" customHeight="1">
      <c r="A13" s="6">
        <v>15289.0</v>
      </c>
      <c r="B13" s="7">
        <v>1.0</v>
      </c>
      <c r="C13" s="8" t="s">
        <v>61</v>
      </c>
      <c r="D13" s="6">
        <v>12281.0</v>
      </c>
      <c r="E13" s="6" t="s">
        <v>62</v>
      </c>
      <c r="F13" s="6" t="s">
        <v>63</v>
      </c>
      <c r="G13" s="7" t="s">
        <v>19</v>
      </c>
      <c r="H13" s="9">
        <v>1.0</v>
      </c>
      <c r="I13" s="10">
        <v>46112.0</v>
      </c>
      <c r="J13" s="9">
        <v>1.0</v>
      </c>
      <c r="K13" s="7" t="s">
        <v>20</v>
      </c>
      <c r="L13" s="9">
        <v>0.0</v>
      </c>
      <c r="M13" s="11" t="s">
        <v>53</v>
      </c>
      <c r="N13" s="12">
        <v>0.0</v>
      </c>
      <c r="O13" s="14">
        <v>1650.0</v>
      </c>
      <c r="P13" s="12">
        <f t="shared" si="2"/>
        <v>1650</v>
      </c>
    </row>
    <row r="14" ht="22.5" customHeight="1">
      <c r="A14" s="6">
        <v>15332.0</v>
      </c>
      <c r="B14" s="7">
        <v>1.0</v>
      </c>
      <c r="C14" s="8" t="s">
        <v>64</v>
      </c>
      <c r="D14" s="6">
        <v>12372.0</v>
      </c>
      <c r="E14" s="6" t="s">
        <v>65</v>
      </c>
      <c r="F14" s="6" t="s">
        <v>66</v>
      </c>
      <c r="G14" s="7" t="s">
        <v>19</v>
      </c>
      <c r="H14" s="9">
        <v>1.0</v>
      </c>
      <c r="I14" s="10">
        <v>46122.0</v>
      </c>
      <c r="J14" s="9">
        <v>1.0</v>
      </c>
      <c r="K14" s="7" t="s">
        <v>20</v>
      </c>
      <c r="L14" s="9">
        <v>1.0</v>
      </c>
      <c r="M14" s="11" t="s">
        <v>21</v>
      </c>
      <c r="N14" s="14">
        <v>400.0</v>
      </c>
      <c r="O14" s="14">
        <v>1400.0</v>
      </c>
      <c r="P14" s="12">
        <f t="shared" si="2"/>
        <v>1000</v>
      </c>
    </row>
    <row r="15" ht="22.5" customHeight="1">
      <c r="A15" s="6">
        <v>15317.0</v>
      </c>
      <c r="B15" s="7">
        <v>1.0</v>
      </c>
      <c r="C15" s="8" t="s">
        <v>67</v>
      </c>
      <c r="D15" s="6">
        <v>12348.0</v>
      </c>
      <c r="E15" s="6" t="s">
        <v>68</v>
      </c>
      <c r="F15" s="6" t="s">
        <v>69</v>
      </c>
      <c r="G15" s="7" t="s">
        <v>70</v>
      </c>
      <c r="H15" s="9">
        <v>1.0</v>
      </c>
      <c r="I15" s="10">
        <v>46113.0</v>
      </c>
      <c r="J15" s="9">
        <v>1.0</v>
      </c>
      <c r="K15" s="7" t="s">
        <v>52</v>
      </c>
      <c r="L15" s="9">
        <v>0.0</v>
      </c>
      <c r="M15" s="15" t="s">
        <v>71</v>
      </c>
      <c r="N15" s="12"/>
      <c r="O15" s="14">
        <v>2250.0</v>
      </c>
      <c r="P15" s="12"/>
    </row>
    <row r="16" ht="22.5" customHeight="1">
      <c r="A16" s="6">
        <v>15331.0</v>
      </c>
      <c r="B16" s="7" t="s">
        <v>72</v>
      </c>
      <c r="C16" s="16" t="s">
        <v>73</v>
      </c>
      <c r="D16" s="6">
        <v>12363.0</v>
      </c>
      <c r="E16" s="6" t="s">
        <v>74</v>
      </c>
      <c r="F16" s="6" t="s">
        <v>75</v>
      </c>
      <c r="G16" s="7" t="s">
        <v>76</v>
      </c>
      <c r="H16" s="9">
        <v>1.0</v>
      </c>
      <c r="I16" s="10">
        <v>46116.0</v>
      </c>
      <c r="J16" s="9">
        <v>1.0</v>
      </c>
      <c r="K16" s="7" t="s">
        <v>77</v>
      </c>
      <c r="L16" s="9">
        <v>1.0</v>
      </c>
      <c r="M16" s="11" t="s">
        <v>78</v>
      </c>
      <c r="N16" s="12"/>
      <c r="O16" s="12">
        <v>1820.0</v>
      </c>
      <c r="P16" s="12">
        <f>O16-N16</f>
        <v>1820</v>
      </c>
    </row>
    <row r="17" ht="22.5" customHeight="1">
      <c r="A17" s="6">
        <v>15335.0</v>
      </c>
      <c r="B17" s="7" t="s">
        <v>72</v>
      </c>
      <c r="C17" s="16" t="s">
        <v>79</v>
      </c>
      <c r="D17" s="6">
        <v>12351.0</v>
      </c>
      <c r="E17" s="6" t="s">
        <v>80</v>
      </c>
      <c r="F17" s="6" t="s">
        <v>81</v>
      </c>
      <c r="G17" s="7" t="s">
        <v>76</v>
      </c>
      <c r="H17" s="9">
        <v>1.0</v>
      </c>
      <c r="I17" s="10">
        <v>46116.0</v>
      </c>
      <c r="J17" s="9">
        <v>1.0</v>
      </c>
      <c r="K17" s="7"/>
      <c r="L17" s="9">
        <v>0.0</v>
      </c>
      <c r="M17" s="11" t="s">
        <v>78</v>
      </c>
      <c r="N17" s="12"/>
      <c r="O17" s="12">
        <v>5470.0</v>
      </c>
      <c r="P17" s="12"/>
    </row>
    <row r="18" ht="22.5" customHeight="1">
      <c r="A18" s="6">
        <v>15311.0</v>
      </c>
      <c r="B18" s="7">
        <v>3.0</v>
      </c>
      <c r="C18" s="16" t="s">
        <v>82</v>
      </c>
      <c r="D18" s="6">
        <v>12339.0</v>
      </c>
      <c r="E18" s="6" t="s">
        <v>83</v>
      </c>
      <c r="F18" s="6" t="s">
        <v>84</v>
      </c>
      <c r="G18" s="7" t="s">
        <v>19</v>
      </c>
      <c r="H18" s="9">
        <v>1.0</v>
      </c>
      <c r="I18" s="10"/>
      <c r="J18" s="9">
        <v>1.0</v>
      </c>
      <c r="K18" s="7" t="s">
        <v>52</v>
      </c>
      <c r="L18" s="9">
        <v>0.0</v>
      </c>
      <c r="M18" s="15" t="s">
        <v>85</v>
      </c>
      <c r="N18" s="12"/>
      <c r="O18" s="14">
        <v>6500.0</v>
      </c>
      <c r="P18" s="12"/>
    </row>
    <row r="19" ht="22.5" customHeight="1">
      <c r="A19" s="6">
        <v>15344.0</v>
      </c>
      <c r="B19" s="7">
        <v>2.0</v>
      </c>
      <c r="C19" s="16" t="s">
        <v>86</v>
      </c>
      <c r="D19" s="6">
        <v>12364.0</v>
      </c>
      <c r="E19" s="6" t="s">
        <v>87</v>
      </c>
      <c r="F19" s="6" t="s">
        <v>88</v>
      </c>
      <c r="G19" s="7" t="s">
        <v>19</v>
      </c>
      <c r="H19" s="9">
        <v>1.0</v>
      </c>
      <c r="I19" s="10">
        <v>46135.0</v>
      </c>
      <c r="J19" s="9">
        <v>1.0</v>
      </c>
      <c r="K19" s="7" t="s">
        <v>52</v>
      </c>
      <c r="L19" s="9">
        <v>0.0</v>
      </c>
      <c r="M19" s="15" t="s">
        <v>21</v>
      </c>
      <c r="N19" s="14">
        <v>500.0</v>
      </c>
      <c r="O19" s="14">
        <v>1400.0</v>
      </c>
      <c r="P19" s="12">
        <f>O19-N19</f>
        <v>900</v>
      </c>
    </row>
    <row r="20" ht="22.5" customHeight="1">
      <c r="A20" s="6">
        <v>15385.0</v>
      </c>
      <c r="B20" s="7">
        <v>2.0</v>
      </c>
      <c r="C20" s="16" t="s">
        <v>89</v>
      </c>
      <c r="D20" s="6">
        <v>12401.0</v>
      </c>
      <c r="E20" s="6" t="s">
        <v>90</v>
      </c>
      <c r="F20" s="6" t="s">
        <v>91</v>
      </c>
      <c r="G20" s="7" t="s">
        <v>19</v>
      </c>
      <c r="H20" s="9">
        <v>1.0</v>
      </c>
      <c r="I20" s="10"/>
      <c r="J20" s="9">
        <v>1.0</v>
      </c>
      <c r="K20" s="7" t="s">
        <v>52</v>
      </c>
      <c r="L20" s="9">
        <v>0.0</v>
      </c>
      <c r="M20" s="15" t="s">
        <v>21</v>
      </c>
      <c r="N20" s="14"/>
      <c r="O20" s="14">
        <v>1700.0</v>
      </c>
      <c r="P20" s="12"/>
    </row>
    <row r="21" ht="22.5" customHeight="1">
      <c r="A21" s="6">
        <v>15321.0</v>
      </c>
      <c r="B21" s="7">
        <v>1.0</v>
      </c>
      <c r="C21" s="16" t="s">
        <v>92</v>
      </c>
      <c r="D21" s="6">
        <v>12315.0</v>
      </c>
      <c r="E21" s="6" t="s">
        <v>93</v>
      </c>
      <c r="F21" s="6" t="s">
        <v>94</v>
      </c>
      <c r="G21" s="7" t="s">
        <v>19</v>
      </c>
      <c r="H21" s="9">
        <v>1.0</v>
      </c>
      <c r="I21" s="10">
        <v>46143.0</v>
      </c>
      <c r="J21" s="9">
        <v>1.0</v>
      </c>
      <c r="K21" s="7" t="s">
        <v>52</v>
      </c>
      <c r="L21" s="9">
        <v>0.0</v>
      </c>
      <c r="M21" s="15" t="s">
        <v>21</v>
      </c>
      <c r="N21" s="14">
        <v>597.1</v>
      </c>
      <c r="O21" s="14">
        <v>3200.0</v>
      </c>
      <c r="P21" s="12">
        <f>O21-N21</f>
        <v>2602.9</v>
      </c>
    </row>
    <row r="22" ht="22.5" customHeight="1">
      <c r="A22" s="6">
        <v>15335.0</v>
      </c>
      <c r="B22" s="7" t="s">
        <v>72</v>
      </c>
      <c r="C22" s="16" t="s">
        <v>79</v>
      </c>
      <c r="D22" s="6">
        <v>12351.0</v>
      </c>
      <c r="E22" s="6" t="s">
        <v>80</v>
      </c>
      <c r="F22" s="6" t="s">
        <v>81</v>
      </c>
      <c r="G22" s="7" t="s">
        <v>95</v>
      </c>
      <c r="H22" s="9">
        <v>1.0</v>
      </c>
      <c r="I22" s="10">
        <v>46157.0</v>
      </c>
      <c r="J22" s="9">
        <v>1.0</v>
      </c>
      <c r="K22" s="7" t="s">
        <v>96</v>
      </c>
      <c r="L22" s="9">
        <v>0.0</v>
      </c>
      <c r="M22" s="11" t="s">
        <v>78</v>
      </c>
      <c r="N22" s="14"/>
      <c r="O22" s="14">
        <v>2040.0</v>
      </c>
      <c r="P22" s="12"/>
    </row>
    <row r="23" ht="22.5" customHeight="1">
      <c r="A23" s="6">
        <v>15364.0</v>
      </c>
      <c r="B23" s="7">
        <v>2.0</v>
      </c>
      <c r="C23" s="16" t="s">
        <v>97</v>
      </c>
      <c r="D23" s="6">
        <v>12206.0</v>
      </c>
      <c r="E23" s="6" t="s">
        <v>98</v>
      </c>
      <c r="F23" s="6" t="s">
        <v>99</v>
      </c>
      <c r="G23" s="7" t="s">
        <v>19</v>
      </c>
      <c r="H23" s="9">
        <v>1.0</v>
      </c>
      <c r="I23" s="10">
        <v>46164.0</v>
      </c>
      <c r="J23" s="9">
        <v>1.0</v>
      </c>
      <c r="K23" s="7" t="s">
        <v>52</v>
      </c>
      <c r="L23" s="9">
        <v>0.0</v>
      </c>
      <c r="M23" s="15" t="s">
        <v>21</v>
      </c>
      <c r="N23" s="12"/>
      <c r="O23" s="14">
        <v>2400.0</v>
      </c>
      <c r="P23" s="12"/>
    </row>
    <row r="24" ht="22.5" customHeight="1">
      <c r="A24" s="6">
        <v>15360.0</v>
      </c>
      <c r="B24" s="7">
        <v>1.0</v>
      </c>
      <c r="C24" s="16" t="s">
        <v>100</v>
      </c>
      <c r="D24" s="6">
        <v>12400.0</v>
      </c>
      <c r="E24" s="6" t="s">
        <v>101</v>
      </c>
      <c r="F24" s="6" t="s">
        <v>102</v>
      </c>
      <c r="G24" s="7" t="s">
        <v>19</v>
      </c>
      <c r="H24" s="9">
        <v>1.0</v>
      </c>
      <c r="I24" s="10">
        <v>46164.0</v>
      </c>
      <c r="J24" s="9">
        <v>1.0</v>
      </c>
      <c r="K24" s="7" t="s">
        <v>52</v>
      </c>
      <c r="L24" s="9">
        <v>0.0</v>
      </c>
      <c r="M24" s="15" t="s">
        <v>103</v>
      </c>
      <c r="N24" s="12"/>
      <c r="O24" s="14">
        <v>3350.0</v>
      </c>
      <c r="P24" s="12"/>
    </row>
    <row r="25" ht="22.5" customHeight="1">
      <c r="A25" s="6">
        <v>15395.0</v>
      </c>
      <c r="B25" s="7" t="s">
        <v>72</v>
      </c>
      <c r="C25" s="16" t="s">
        <v>104</v>
      </c>
      <c r="D25" s="6">
        <v>12355.0</v>
      </c>
      <c r="E25" s="6" t="s">
        <v>105</v>
      </c>
      <c r="F25" s="6" t="s">
        <v>106</v>
      </c>
      <c r="G25" s="7" t="s">
        <v>76</v>
      </c>
      <c r="H25" s="9">
        <v>1.0</v>
      </c>
      <c r="I25" s="10">
        <v>46157.0</v>
      </c>
      <c r="J25" s="9">
        <v>1.0</v>
      </c>
      <c r="K25" s="7" t="s">
        <v>77</v>
      </c>
      <c r="L25" s="9">
        <v>0.0</v>
      </c>
      <c r="M25" s="15" t="s">
        <v>78</v>
      </c>
      <c r="N25" s="14"/>
      <c r="O25" s="14">
        <v>3170.0</v>
      </c>
      <c r="P25" s="12"/>
    </row>
    <row r="26" ht="22.5" customHeight="1">
      <c r="A26" s="6">
        <v>15372.0</v>
      </c>
      <c r="B26" s="7">
        <v>2.0</v>
      </c>
      <c r="C26" s="16" t="s">
        <v>107</v>
      </c>
      <c r="D26" s="6">
        <v>12350.0</v>
      </c>
      <c r="E26" s="6" t="s">
        <v>101</v>
      </c>
      <c r="F26" s="6" t="s">
        <v>108</v>
      </c>
      <c r="G26" s="7" t="s">
        <v>19</v>
      </c>
      <c r="H26" s="9">
        <v>1.0</v>
      </c>
      <c r="I26" s="10">
        <v>46164.0</v>
      </c>
      <c r="J26" s="9">
        <v>1.0</v>
      </c>
      <c r="K26" s="7" t="s">
        <v>109</v>
      </c>
      <c r="L26" s="9">
        <v>0.0</v>
      </c>
      <c r="M26" s="15" t="s">
        <v>21</v>
      </c>
      <c r="N26" s="12"/>
      <c r="O26" s="12"/>
      <c r="P26" s="12"/>
    </row>
    <row r="27" ht="22.5" customHeight="1">
      <c r="A27" s="6">
        <v>15368.0</v>
      </c>
      <c r="B27" s="7">
        <v>1.0</v>
      </c>
      <c r="C27" s="16" t="s">
        <v>86</v>
      </c>
      <c r="D27" s="6">
        <v>12335.0</v>
      </c>
      <c r="E27" s="6" t="s">
        <v>110</v>
      </c>
      <c r="F27" s="6" t="s">
        <v>111</v>
      </c>
      <c r="G27" s="7" t="s">
        <v>19</v>
      </c>
      <c r="H27" s="9">
        <v>1.0</v>
      </c>
      <c r="I27" s="10">
        <v>46170.0</v>
      </c>
      <c r="J27" s="9">
        <v>1.0</v>
      </c>
      <c r="K27" s="7" t="s">
        <v>112</v>
      </c>
      <c r="L27" s="9">
        <v>0.0</v>
      </c>
      <c r="M27" s="15" t="s">
        <v>71</v>
      </c>
      <c r="N27" s="14">
        <v>200.0</v>
      </c>
      <c r="O27" s="14">
        <v>1900.0</v>
      </c>
      <c r="P27" s="12">
        <f>O27-N27</f>
        <v>1700</v>
      </c>
    </row>
    <row r="28" ht="22.5" customHeight="1">
      <c r="A28" s="6">
        <v>15377.0</v>
      </c>
      <c r="B28" s="7">
        <v>1.0</v>
      </c>
      <c r="C28" s="16" t="s">
        <v>113</v>
      </c>
      <c r="D28" s="6">
        <v>12317.0</v>
      </c>
      <c r="E28" s="6" t="s">
        <v>114</v>
      </c>
      <c r="F28" s="6" t="s">
        <v>115</v>
      </c>
      <c r="G28" s="7" t="s">
        <v>19</v>
      </c>
      <c r="H28" s="9">
        <v>1.0</v>
      </c>
      <c r="I28" s="10">
        <v>46178.0</v>
      </c>
      <c r="J28" s="9">
        <v>1.0</v>
      </c>
      <c r="K28" s="7" t="s">
        <v>52</v>
      </c>
      <c r="L28" s="9">
        <v>0.0</v>
      </c>
      <c r="M28" s="15" t="s">
        <v>21</v>
      </c>
      <c r="N28" s="12"/>
      <c r="O28" s="12"/>
      <c r="P28" s="12"/>
    </row>
    <row r="29" ht="22.5" customHeight="1">
      <c r="A29" s="6">
        <v>15251.0</v>
      </c>
      <c r="B29" s="7">
        <v>2.0</v>
      </c>
      <c r="C29" s="16" t="s">
        <v>116</v>
      </c>
      <c r="D29" s="6">
        <v>12006.0</v>
      </c>
      <c r="E29" s="6" t="s">
        <v>117</v>
      </c>
      <c r="F29" s="6" t="s">
        <v>118</v>
      </c>
      <c r="G29" s="7" t="s">
        <v>19</v>
      </c>
      <c r="H29" s="9">
        <v>1.0</v>
      </c>
      <c r="I29" s="10">
        <v>46185.0</v>
      </c>
      <c r="J29" s="9">
        <v>1.0</v>
      </c>
      <c r="K29" s="7" t="s">
        <v>52</v>
      </c>
      <c r="L29" s="9">
        <v>0.0</v>
      </c>
      <c r="M29" s="15" t="s">
        <v>21</v>
      </c>
      <c r="N29" s="12"/>
      <c r="O29" s="12"/>
      <c r="P29" s="12"/>
    </row>
    <row r="30" ht="22.5" customHeight="1">
      <c r="A30" s="6">
        <v>15398.0</v>
      </c>
      <c r="B30" s="7">
        <v>2.0</v>
      </c>
      <c r="C30" s="16" t="s">
        <v>119</v>
      </c>
      <c r="D30" s="6">
        <v>11752.0</v>
      </c>
      <c r="E30" s="6" t="s">
        <v>120</v>
      </c>
      <c r="F30" s="6" t="s">
        <v>121</v>
      </c>
      <c r="G30" s="7" t="s">
        <v>19</v>
      </c>
      <c r="H30" s="9">
        <v>1.0</v>
      </c>
      <c r="I30" s="10">
        <v>46205.0</v>
      </c>
      <c r="J30" s="9">
        <v>1.0</v>
      </c>
      <c r="K30" s="7" t="s">
        <v>112</v>
      </c>
      <c r="L30" s="9">
        <v>0.0</v>
      </c>
      <c r="M30" s="15" t="s">
        <v>21</v>
      </c>
      <c r="N30" s="14">
        <v>475.0</v>
      </c>
      <c r="O30" s="14">
        <v>2100.0</v>
      </c>
      <c r="P30" s="12">
        <f>O30-N30</f>
        <v>1625</v>
      </c>
    </row>
    <row r="31" ht="22.5" customHeight="1">
      <c r="A31" s="6">
        <v>15414.0</v>
      </c>
      <c r="B31" s="7">
        <v>2.0</v>
      </c>
      <c r="C31" s="17" t="s">
        <v>122</v>
      </c>
      <c r="D31" s="6">
        <v>12410.0</v>
      </c>
      <c r="E31" s="16" t="s">
        <v>123</v>
      </c>
      <c r="F31" s="6" t="s">
        <v>124</v>
      </c>
      <c r="G31" s="7" t="s">
        <v>19</v>
      </c>
      <c r="H31" s="9">
        <v>1.0</v>
      </c>
      <c r="I31" s="10">
        <v>46205.0</v>
      </c>
      <c r="J31" s="9">
        <v>1.0</v>
      </c>
      <c r="K31" s="7" t="s">
        <v>112</v>
      </c>
      <c r="L31" s="9">
        <v>0.0</v>
      </c>
      <c r="M31" s="15" t="s">
        <v>21</v>
      </c>
      <c r="N31" s="14">
        <v>475.0</v>
      </c>
      <c r="O31" s="12" t="s">
        <v>44</v>
      </c>
      <c r="P31" s="12"/>
    </row>
    <row r="32" ht="22.5" customHeight="1">
      <c r="A32" s="6">
        <v>15417.0</v>
      </c>
      <c r="B32" s="7">
        <v>1.0</v>
      </c>
      <c r="C32" s="16" t="s">
        <v>125</v>
      </c>
      <c r="D32" s="6">
        <v>12318.0</v>
      </c>
      <c r="E32" s="6" t="s">
        <v>126</v>
      </c>
      <c r="F32" s="6" t="s">
        <v>127</v>
      </c>
      <c r="G32" s="7" t="s">
        <v>19</v>
      </c>
      <c r="H32" s="9">
        <v>1.0</v>
      </c>
      <c r="I32" s="10">
        <v>46223.0</v>
      </c>
      <c r="J32" s="9">
        <v>1.0</v>
      </c>
      <c r="K32" s="7" t="s">
        <v>52</v>
      </c>
      <c r="L32" s="9">
        <v>0.0</v>
      </c>
      <c r="M32" s="15" t="s">
        <v>21</v>
      </c>
      <c r="N32" s="14">
        <v>600.0</v>
      </c>
      <c r="O32" s="14">
        <v>1650.0</v>
      </c>
      <c r="P32" s="12">
        <f>O32-N32</f>
        <v>1050</v>
      </c>
    </row>
    <row r="33" ht="22.5" customHeight="1">
      <c r="A33" s="6">
        <v>15443.0</v>
      </c>
      <c r="B33" s="7">
        <v>2.0</v>
      </c>
      <c r="C33" s="16" t="s">
        <v>128</v>
      </c>
      <c r="D33" s="6">
        <v>12472.0</v>
      </c>
      <c r="E33" s="6" t="s">
        <v>129</v>
      </c>
      <c r="F33" s="6" t="s">
        <v>130</v>
      </c>
      <c r="G33" s="7" t="s">
        <v>131</v>
      </c>
      <c r="H33" s="9">
        <v>1.0</v>
      </c>
      <c r="I33" s="10">
        <v>46227.0</v>
      </c>
      <c r="J33" s="9">
        <v>1.0</v>
      </c>
      <c r="K33" s="7" t="s">
        <v>52</v>
      </c>
      <c r="L33" s="9">
        <v>0.0</v>
      </c>
      <c r="M33" s="15" t="s">
        <v>132</v>
      </c>
      <c r="N33" s="14">
        <v>2000.0</v>
      </c>
      <c r="O33" s="14">
        <v>3900.0</v>
      </c>
      <c r="P33" s="14">
        <v>1900.0</v>
      </c>
    </row>
    <row r="34" ht="22.5" customHeight="1">
      <c r="A34" s="6"/>
      <c r="B34" s="7"/>
      <c r="C34" s="16"/>
      <c r="D34" s="6"/>
      <c r="E34" s="6"/>
      <c r="F34" s="6"/>
      <c r="G34" s="7"/>
      <c r="H34" s="9"/>
      <c r="I34" s="10"/>
      <c r="J34" s="9"/>
      <c r="K34" s="7"/>
      <c r="L34" s="9"/>
      <c r="M34" s="11"/>
      <c r="N34" s="12"/>
      <c r="O34" s="12"/>
      <c r="P34" s="12"/>
    </row>
    <row r="35" ht="22.5" customHeight="1">
      <c r="A35" s="6"/>
      <c r="B35" s="7"/>
      <c r="C35" s="16"/>
      <c r="D35" s="6"/>
      <c r="E35" s="6"/>
      <c r="F35" s="6"/>
      <c r="G35" s="7"/>
      <c r="H35" s="9"/>
      <c r="I35" s="10"/>
      <c r="J35" s="9"/>
      <c r="K35" s="7"/>
      <c r="L35" s="9"/>
      <c r="M35" s="11"/>
      <c r="N35" s="12"/>
      <c r="O35" s="12"/>
      <c r="P35" s="12"/>
    </row>
    <row r="36" ht="22.5" customHeight="1">
      <c r="A36" s="6"/>
      <c r="B36" s="7"/>
      <c r="C36" s="16"/>
      <c r="D36" s="6"/>
      <c r="E36" s="6"/>
      <c r="F36" s="6"/>
      <c r="G36" s="7"/>
      <c r="H36" s="9"/>
      <c r="I36" s="10"/>
      <c r="J36" s="9"/>
      <c r="K36" s="7"/>
      <c r="L36" s="9"/>
      <c r="M36" s="11"/>
      <c r="N36" s="12"/>
      <c r="O36" s="12"/>
      <c r="P36" s="12"/>
    </row>
    <row r="37" ht="22.5" customHeight="1">
      <c r="A37" s="6"/>
      <c r="B37" s="7"/>
      <c r="C37" s="16"/>
      <c r="D37" s="6"/>
      <c r="E37" s="6"/>
      <c r="F37" s="6"/>
      <c r="G37" s="7"/>
      <c r="H37" s="9"/>
      <c r="I37" s="10"/>
      <c r="J37" s="9"/>
      <c r="K37" s="7"/>
      <c r="L37" s="9"/>
      <c r="M37" s="11"/>
      <c r="N37" s="12"/>
      <c r="O37" s="12"/>
      <c r="P37" s="12"/>
    </row>
    <row r="38" ht="22.5" customHeight="1">
      <c r="A38" s="6"/>
      <c r="B38" s="7"/>
      <c r="C38" s="16"/>
      <c r="D38" s="6"/>
      <c r="E38" s="6"/>
      <c r="F38" s="6"/>
      <c r="G38" s="7"/>
      <c r="H38" s="9"/>
      <c r="I38" s="10"/>
      <c r="J38" s="9"/>
      <c r="K38" s="7"/>
      <c r="L38" s="9"/>
      <c r="M38" s="11"/>
      <c r="N38" s="12"/>
      <c r="O38" s="12"/>
      <c r="P38" s="12"/>
    </row>
    <row r="39" ht="22.5" customHeight="1">
      <c r="A39" s="6"/>
      <c r="B39" s="7"/>
      <c r="C39" s="16"/>
      <c r="D39" s="6"/>
      <c r="E39" s="6"/>
      <c r="F39" s="6"/>
      <c r="G39" s="7"/>
      <c r="H39" s="9"/>
      <c r="I39" s="10"/>
      <c r="J39" s="9"/>
      <c r="K39" s="7"/>
      <c r="L39" s="9"/>
      <c r="M39" s="11"/>
      <c r="N39" s="12"/>
      <c r="O39" s="12"/>
      <c r="P39" s="12"/>
    </row>
    <row r="40" ht="22.5" customHeight="1">
      <c r="A40" s="6"/>
      <c r="B40" s="7"/>
      <c r="C40" s="16"/>
      <c r="D40" s="6"/>
      <c r="E40" s="6"/>
      <c r="F40" s="6"/>
      <c r="G40" s="7"/>
      <c r="H40" s="9"/>
      <c r="I40" s="10"/>
      <c r="J40" s="9"/>
      <c r="K40" s="7"/>
      <c r="L40" s="9"/>
      <c r="M40" s="11"/>
      <c r="N40" s="12"/>
      <c r="O40" s="12"/>
      <c r="P40" s="12"/>
    </row>
    <row r="41" ht="22.5" customHeight="1">
      <c r="A41" s="6"/>
      <c r="B41" s="7"/>
      <c r="C41" s="16"/>
      <c r="D41" s="6"/>
      <c r="E41" s="6"/>
      <c r="F41" s="6"/>
      <c r="G41" s="7"/>
      <c r="H41" s="9"/>
      <c r="I41" s="10"/>
      <c r="J41" s="9"/>
      <c r="K41" s="7"/>
      <c r="L41" s="9"/>
      <c r="M41" s="11"/>
      <c r="N41" s="12"/>
      <c r="O41" s="12"/>
      <c r="P41" s="12"/>
    </row>
    <row r="42" ht="22.5" customHeight="1">
      <c r="A42" s="6"/>
      <c r="B42" s="7"/>
      <c r="C42" s="16"/>
      <c r="D42" s="6"/>
      <c r="E42" s="6"/>
      <c r="F42" s="6"/>
      <c r="G42" s="7"/>
      <c r="H42" s="9"/>
      <c r="I42" s="10"/>
      <c r="J42" s="9"/>
      <c r="K42" s="7"/>
      <c r="L42" s="9"/>
      <c r="M42" s="11"/>
      <c r="N42" s="12"/>
      <c r="O42" s="12"/>
      <c r="P42" s="12"/>
    </row>
    <row r="43" ht="22.5" customHeight="1">
      <c r="A43" s="6"/>
      <c r="B43" s="7"/>
      <c r="C43" s="16"/>
      <c r="D43" s="6"/>
      <c r="E43" s="6"/>
      <c r="F43" s="6"/>
      <c r="G43" s="7"/>
      <c r="H43" s="9"/>
      <c r="I43" s="10"/>
      <c r="J43" s="9"/>
      <c r="K43" s="7"/>
      <c r="L43" s="9"/>
      <c r="M43" s="11"/>
      <c r="N43" s="12"/>
      <c r="O43" s="12"/>
      <c r="P43" s="12"/>
    </row>
    <row r="44" ht="22.5" customHeight="1">
      <c r="A44" s="6"/>
      <c r="B44" s="7"/>
      <c r="C44" s="16"/>
      <c r="D44" s="6"/>
      <c r="E44" s="6"/>
      <c r="F44" s="6"/>
      <c r="G44" s="7"/>
      <c r="H44" s="9"/>
      <c r="I44" s="10"/>
      <c r="J44" s="9"/>
      <c r="K44" s="7"/>
      <c r="L44" s="9"/>
      <c r="M44" s="11"/>
      <c r="N44" s="12"/>
      <c r="O44" s="12"/>
      <c r="P44" s="12"/>
    </row>
    <row r="45" ht="22.5" customHeight="1">
      <c r="A45" s="6"/>
      <c r="B45" s="7"/>
      <c r="C45" s="16"/>
      <c r="D45" s="6"/>
      <c r="E45" s="6"/>
      <c r="F45" s="6"/>
      <c r="G45" s="7"/>
      <c r="H45" s="9"/>
      <c r="I45" s="10"/>
      <c r="J45" s="9"/>
      <c r="K45" s="7"/>
      <c r="L45" s="9"/>
      <c r="M45" s="11"/>
      <c r="N45" s="12"/>
      <c r="O45" s="12"/>
      <c r="P45" s="12"/>
    </row>
    <row r="46" ht="22.5" customHeight="1">
      <c r="A46" s="6"/>
      <c r="B46" s="7"/>
      <c r="C46" s="16"/>
      <c r="D46" s="6"/>
      <c r="E46" s="6"/>
      <c r="F46" s="6"/>
      <c r="G46" s="7"/>
      <c r="H46" s="9"/>
      <c r="I46" s="10"/>
      <c r="J46" s="9"/>
      <c r="K46" s="7"/>
      <c r="L46" s="9"/>
      <c r="M46" s="11"/>
      <c r="N46" s="12"/>
      <c r="O46" s="12"/>
      <c r="P46" s="12"/>
    </row>
    <row r="47" ht="22.5" customHeight="1">
      <c r="A47" s="6"/>
      <c r="B47" s="7"/>
      <c r="C47" s="16"/>
      <c r="D47" s="6"/>
      <c r="E47" s="6"/>
      <c r="F47" s="6"/>
      <c r="G47" s="7"/>
      <c r="H47" s="9"/>
      <c r="I47" s="10"/>
      <c r="J47" s="9"/>
      <c r="K47" s="7"/>
      <c r="L47" s="9"/>
      <c r="M47" s="11"/>
      <c r="N47" s="12"/>
      <c r="O47" s="12"/>
      <c r="P47" s="12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</sheetData>
  <conditionalFormatting sqref="G3:L47 F7">
    <cfRule type="cellIs" dxfId="5" priority="1" operator="equal">
      <formula>"100%"</formula>
    </cfRule>
  </conditionalFormatting>
  <conditionalFormatting sqref="G3:L47 F7">
    <cfRule type="cellIs" dxfId="6" priority="2" operator="equal">
      <formula>"0%"</formula>
    </cfRule>
  </conditionalFormatting>
  <conditionalFormatting sqref="H3:H25 J3:L47">
    <cfRule type="cellIs" dxfId="7" priority="3" operator="equal">
      <formula>"50%"</formula>
    </cfRule>
  </conditionalFormatting>
  <dataValidations>
    <dataValidation type="custom" allowBlank="1" showDropDown="1" sqref="I3:I47">
      <formula1>OR(NOT(ISERROR(DATEVALUE(I3))), AND(ISNUMBER(I3), LEFT(CELL("format", I3))="D"))</formula1>
    </dataValidation>
    <dataValidation type="custom" allowBlank="1" showDropDown="1" sqref="H3:H47 J3:J47 L3:L47">
      <formula1>AND(ISNUMBER(H3),(NOT(OR(NOT(ISERROR(DATEVALUE(H3))), AND(ISNUMBER(H3), LEFT(CELL("format", H3))="D")))))</formula1>
    </dataValidation>
  </dataValidations>
  <drawing r:id="rId1"/>
  <tableParts count="1">
    <tablePart r:id="rId3"/>
  </tableParts>
</worksheet>
</file>